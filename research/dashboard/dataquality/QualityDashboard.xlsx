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NGDTK\Downloads\"/>
    </mc:Choice>
  </mc:AlternateContent>
  <xr:revisionPtr revIDLastSave="0" documentId="13_ncr:1_{C200ADC5-0FBA-4D41-8C9F-0CD71EC5F28C}" xr6:coauthVersionLast="47" xr6:coauthVersionMax="47" xr10:uidLastSave="{00000000-0000-0000-0000-000000000000}"/>
  <bookViews>
    <workbookView xWindow="-110" yWindow="-110" windowWidth="22780" windowHeight="14540" activeTab="1" xr2:uid="{6F5FEADB-4EAC-4040-8C6F-14F93AFF41A8}"/>
  </bookViews>
  <sheets>
    <sheet name="Dashboard" sheetId="1" r:id="rId1"/>
    <sheet name="ERD" sheetId="3" r:id="rId2"/>
    <sheet name="Mo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" l="1"/>
  <c r="A15" i="2"/>
  <c r="A16" i="2"/>
  <c r="A17" i="2"/>
  <c r="A18" i="2"/>
  <c r="A19" i="2"/>
  <c r="A20" i="2"/>
  <c r="A21" i="2"/>
  <c r="A22" i="2"/>
  <c r="A3" i="2"/>
  <c r="A4" i="2"/>
  <c r="A5" i="2"/>
  <c r="A6" i="2"/>
  <c r="A7" i="2"/>
  <c r="A8" i="2"/>
  <c r="A9" i="2"/>
  <c r="A10" i="2"/>
  <c r="A11" i="2"/>
  <c r="A12" i="2"/>
  <c r="A13" i="2"/>
  <c r="A14" i="2"/>
  <c r="A2" i="2"/>
</calcChain>
</file>

<file path=xl/sharedStrings.xml><?xml version="1.0" encoding="utf-8"?>
<sst xmlns="http://schemas.openxmlformats.org/spreadsheetml/2006/main" count="79" uniqueCount="61">
  <si>
    <t>STT</t>
  </si>
  <si>
    <t>Loại</t>
  </si>
  <si>
    <t>Đối tượng</t>
  </si>
  <si>
    <t>Mô tả</t>
  </si>
  <si>
    <t>Dashboard Title</t>
  </si>
  <si>
    <t>Logo</t>
  </si>
  <si>
    <t>MBAMC_20221010_DWBI\99_Ref\origin-big-logo.png</t>
  </si>
  <si>
    <t>Title</t>
  </si>
  <si>
    <t>Text</t>
  </si>
  <si>
    <t>Ghi chú</t>
  </si>
  <si>
    <t>Text + tham số ngày cập nhật gần nhất: Lấy max</t>
  </si>
  <si>
    <t>Filter</t>
  </si>
  <si>
    <t>Tính chất kiểm tra</t>
  </si>
  <si>
    <t>Lấy TBMD_REF_DATA_DTL_R.REF_DATA_NM</t>
  </si>
  <si>
    <t>Parameter</t>
  </si>
  <si>
    <t>Loại báo cáo</t>
  </si>
  <si>
    <t>Fix cứng 04 giá trị:
- W: Lấy dữ liệu từ đầu tuần
- M: Lấy dữ liệu từ đầu tháng
- Y: Lấy dữ liệu từ đầu năm
- C: Tùy chọn</t>
  </si>
  <si>
    <t>Thời gian từ</t>
  </si>
  <si>
    <t>Thời gian đến</t>
  </si>
  <si>
    <t>Ngày hiện tại</t>
  </si>
  <si>
    <t>Hiển thị theo loại báo cáo:
- W: Lấy dữ liệu từ đầu tuần - Ngày đầu tuần của ngày hiện tại
- M: Lấy dữ liệu từ đầu tháng - Ngày đầu tháng của ngày hiện tại
- Y: Lấy dữ liệu từ đầu năm - Ngày đầu năm của ngày hiện tại
- C: Tùy chọn - Ngày hiện tại</t>
  </si>
  <si>
    <t>Chart</t>
  </si>
  <si>
    <t>Tổng kiểm tra</t>
  </si>
  <si>
    <t>Ký hiệu</t>
  </si>
  <si>
    <t>@Type</t>
  </si>
  <si>
    <t>@From</t>
  </si>
  <si>
    <t>@to</t>
  </si>
  <si>
    <t>- Bộ đếm: Đếm số bản ghi trong bảng TGDQ_DATA_QAL_LOG_Q theo điều kiện @Type, @From, @To =&gt; giá trị A
- % = A/A%</t>
  </si>
  <si>
    <t>A</t>
  </si>
  <si>
    <t>B</t>
  </si>
  <si>
    <t>Thành công</t>
  </si>
  <si>
    <t>Thất bại</t>
  </si>
  <si>
    <t>Lỗi</t>
  </si>
  <si>
    <t>- Bộ đếm: Đếm số bản ghi trong bảng TGDQ_DATA_QAL_LOG_Q với VLD_STS = 'SUCCESS' theo điều kiện @Type, @From, @To =&gt; giá trị B
- % = B/A%</t>
  </si>
  <si>
    <t>- Bộ đếm: Đếm số bản ghi trong bảng TGDQ_DATA_QAL_LOG_Q với VLD_STS = 'FAILED' theo điều kiện @Type, @From, @To =&gt; giá trị C
- % = C/A%</t>
  </si>
  <si>
    <t>- Bộ đếm: Đếm số bản ghi trong bảng TGDQ_DATA_QAL_LOG_Q với VLD_STS = 'ERROR' theo điều kiện @Type, @From, @To =&gt; giá trị D
- % = D/A%</t>
  </si>
  <si>
    <t>Mục tiêu</t>
  </si>
  <si>
    <t>C</t>
  </si>
  <si>
    <t>D</t>
  </si>
  <si>
    <t>KPI</t>
  </si>
  <si>
    <t>@KPI</t>
  </si>
  <si>
    <t>KPI chất lượng dữ liệu</t>
  </si>
  <si>
    <t>Nhất quán</t>
  </si>
  <si>
    <t>- Hoàn thành: Tỷ lệ thành công tại mục 10
-  Mục tiêu: @KPI</t>
  </si>
  <si>
    <t>Tổng kiểm tra, Thành công, thất bại, lỗi tính tương tự như mục 9,10,11,12 nhưng thêm điều kiện TBMD_REF_DATA_DTL_R.REF_DATA_NM = 'Nhất quán'</t>
  </si>
  <si>
    <t>Toàn vẹn</t>
  </si>
  <si>
    <t>Hợp lệ</t>
  </si>
  <si>
    <t>Chính xác</t>
  </si>
  <si>
    <t>Duy nhất</t>
  </si>
  <si>
    <t>Đầy đủ</t>
  </si>
  <si>
    <t>Kịp thời</t>
  </si>
  <si>
    <t>Tổng kiểm tra, Thành công, thất bại, lỗi tính tương tự như mục 9,10,11,12 nhưng thêm điều kiện TBMD_REF_DATA_DTL_R.REF_DATA_NM = 'Toàn vẹn'</t>
  </si>
  <si>
    <t>Tổng kiểm tra, Thành công, thất bại, lỗi tính tương tự như mục 9,10,11,12 nhưng thêm điều kiện TBMD_REF_DATA_DTL_R.REF_DATA_NM = 'Hợp lệ'</t>
  </si>
  <si>
    <t>Tổng kiểm tra, Thành công, thất bại, lỗi tính tương tự như mục 9,10,11,12 nhưng thêm điều kiện TBMD_REF_DATA_DTL_R.REF_DATA_NM = 'Chính xác'</t>
  </si>
  <si>
    <t>Tổng kiểm tra, Thành công, thất bại, lỗi tính tương tự như mục 9,10,11,12 nhưng thêm điều kiện TBMD_REF_DATA_DTL_R.REF_DATA_NM = 'Duy nhất'</t>
  </si>
  <si>
    <t>Tổng kiểm tra, Thành công, thất bại, lỗi tính tương tự như mục 9,10,11,12 nhưng thêm điều kiện TBMD_REF_DATA_DTL_R.REF_DATA_NM = 'Đầy đủ'</t>
  </si>
  <si>
    <t>Tổng kiểm tra, Thành công, thất bại, lỗi tính tương tự như mục 9,10,11,12 nhưng thêm điều kiện TBMD_REF_DATA_DTL_R.REF_DATA_NM = 'Kịp thời'</t>
  </si>
  <si>
    <t>7 ngày gần nhất</t>
  </si>
  <si>
    <t>- Trục X: 7 ngày gần nhất trong khoảng @From -&gt; @To
-  Trục Y: Tỷ lệ thành công tại mục 10
-  Mục tiêu: @KPI</t>
  </si>
  <si>
    <t>Schema</t>
  </si>
  <si>
    <t>- Schema: TGDQ_DATA_QAL_RULE_Q.SCHM_CD
- Total: mục 9
- Success: mục 10
- Failed: mục 11
- Error: mục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</si>
</sst>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/>
    </xf>
    <xf numFmtId="0" fontId="2" fillId="0" borderId="3" xfId="0" quotePrefix="1" applyFont="1" applyBorder="1" applyAlignment="1">
      <alignment vertical="top" wrapText="1"/>
    </xf>
    <xf numFmtId="0" fontId="2" fillId="0" borderId="7" xfId="0" applyFont="1" applyBorder="1" applyAlignment="1">
      <alignment vertical="top"/>
    </xf>
    <xf numFmtId="0" fontId="2" fillId="0" borderId="8" xfId="0" quotePrefix="1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4" xfId="0" applyFont="1" applyBorder="1" applyAlignment="1">
      <alignment vertical="top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352185</xdr:colOff>
      <xdr:row>52</xdr:row>
      <xdr:rowOff>156907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0C0F6-B332-EC67-1B93-C47FF7E1E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61905" cy="9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5</xdr:row>
      <xdr:rowOff>76200</xdr:rowOff>
    </xdr:from>
    <xdr:to>
      <xdr:col>20</xdr:col>
      <xdr:colOff>470926</xdr:colOff>
      <xdr:row>24</xdr:row>
      <xdr:rowOff>153861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E5D094-75EB-69DC-E32B-4B58132F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990600"/>
          <a:ext cx="12114286" cy="35523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0166-09B8-4918-BD0D-FC85CCC96E8F}" name="Table1" displayName="Table1" ref="A1:E23" totalsRowShown="0" headerRowDxfId="9" dataDxfId="7" headerRowBorderDxfId="8" tableBorderDxfId="6" totalsRowBorderDxfId="5">
  <autoFilter ref="A1:E23" xr:uid="{996C0166-09B8-4918-BD0D-FC85CCC96E8F}"/>
  <tableColumns count="5">
    <tableColumn id="1" xr3:uid="{4ABCCD9F-094B-4675-B042-D1F1CE0E08A9}" name="STT" dataDxfId="4">
      <calculatedColumnFormula>ROW()-1</calculatedColumnFormula>
    </tableColumn>
    <tableColumn id="2" xr3:uid="{618B9CD7-8366-459A-91D1-6FB107481ECF}" name="Loại" dataDxfId="3"/>
    <tableColumn id="3" xr3:uid="{7BBE4774-BCE8-48AC-900D-19D1CA22303D}" name="Đối tượng" dataDxfId="2"/>
    <tableColumn id="4" xr3:uid="{7E3B8919-761C-4A2E-AEFA-5ADC2B88C955}" name="Ký hiệu" dataDxfId="1"/>
    <tableColumn id="5" xr3:uid="{3E37723E-2D3D-46F7-A88E-9D173F52A38B}" name="Mô t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7592-0921-456A-AC32-0557F3994451}">
  <dimension ref="A1"/>
  <sheetViews>
    <sheetView zoomScale="55" zoomScaleNormal="55" workbookViewId="0">
      <selection activeCell="F55" sqref="F55"/>
    </sheetView>
  </sheetViews>
  <sheetFormatPr defaultRowHeight="14.5" x14ac:dyDescent="0.35"/>
  <cols>
    <col min="1" max="1" width="11.6328125" customWidth="1"/>
    <col min="2" max="2" width="11.1796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FD57-068D-4FC4-A170-84AC93E934CD}">
  <dimension ref="A1"/>
  <sheetViews>
    <sheetView tabSelected="1" workbookViewId="0">
      <selection activeCell="K30" sqref="K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7F8-29C9-44A4-8B36-A2340291854D}">
  <dimension ref="A1:E23"/>
  <sheetViews>
    <sheetView topLeftCell="A13" workbookViewId="0">
      <selection activeCell="B2" sqref="B2:E23"/>
    </sheetView>
  </sheetViews>
  <sheetFormatPr defaultColWidth="8.90625" defaultRowHeight="14" x14ac:dyDescent="0.3"/>
  <cols>
    <col min="1" max="1" width="6.90625" style="3" bestFit="1" customWidth="1"/>
    <col min="2" max="2" width="16.54296875" style="11" customWidth="1"/>
    <col min="3" max="3" width="23" style="11" customWidth="1"/>
    <col min="4" max="4" width="14.36328125" style="11" customWidth="1"/>
    <col min="5" max="5" width="53.36328125" style="12" customWidth="1"/>
    <col min="6" max="16384" width="8.90625" style="3"/>
  </cols>
  <sheetData>
    <row r="1" spans="1:5" ht="20.399999999999999" customHeight="1" x14ac:dyDescent="0.3">
      <c r="A1" s="13" t="s">
        <v>0</v>
      </c>
      <c r="B1" s="1" t="s">
        <v>1</v>
      </c>
      <c r="C1" s="1" t="s">
        <v>2</v>
      </c>
      <c r="D1" s="1" t="s">
        <v>23</v>
      </c>
      <c r="E1" s="2" t="s">
        <v>3</v>
      </c>
    </row>
    <row r="2" spans="1:5" x14ac:dyDescent="0.3">
      <c r="A2" s="4">
        <f>ROW()-1</f>
        <v>1</v>
      </c>
      <c r="B2" s="5" t="s">
        <v>4</v>
      </c>
      <c r="C2" s="5" t="s">
        <v>5</v>
      </c>
      <c r="D2" s="5"/>
      <c r="E2" s="6" t="s">
        <v>6</v>
      </c>
    </row>
    <row r="3" spans="1:5" x14ac:dyDescent="0.3">
      <c r="A3" s="4">
        <f t="shared" ref="A3:A22" si="0">ROW()-1</f>
        <v>2</v>
      </c>
      <c r="B3" s="5" t="s">
        <v>4</v>
      </c>
      <c r="C3" s="5" t="s">
        <v>7</v>
      </c>
      <c r="D3" s="5"/>
      <c r="E3" s="6" t="s">
        <v>8</v>
      </c>
    </row>
    <row r="4" spans="1:5" x14ac:dyDescent="0.3">
      <c r="A4" s="4">
        <f t="shared" si="0"/>
        <v>3</v>
      </c>
      <c r="B4" s="5" t="s">
        <v>4</v>
      </c>
      <c r="C4" s="5" t="s">
        <v>9</v>
      </c>
      <c r="D4" s="5"/>
      <c r="E4" s="6" t="s">
        <v>10</v>
      </c>
    </row>
    <row r="5" spans="1:5" x14ac:dyDescent="0.3">
      <c r="A5" s="4">
        <f t="shared" si="0"/>
        <v>4</v>
      </c>
      <c r="B5" s="5" t="s">
        <v>11</v>
      </c>
      <c r="C5" s="5" t="s">
        <v>12</v>
      </c>
      <c r="D5" s="7" t="s">
        <v>24</v>
      </c>
      <c r="E5" s="6" t="s">
        <v>13</v>
      </c>
    </row>
    <row r="6" spans="1:5" ht="70" x14ac:dyDescent="0.3">
      <c r="A6" s="4">
        <f t="shared" si="0"/>
        <v>5</v>
      </c>
      <c r="B6" s="5" t="s">
        <v>14</v>
      </c>
      <c r="C6" s="5" t="s">
        <v>15</v>
      </c>
      <c r="D6" s="5"/>
      <c r="E6" s="6" t="s">
        <v>16</v>
      </c>
    </row>
    <row r="7" spans="1:5" ht="84" x14ac:dyDescent="0.3">
      <c r="A7" s="4">
        <f t="shared" si="0"/>
        <v>6</v>
      </c>
      <c r="B7" s="5" t="s">
        <v>14</v>
      </c>
      <c r="C7" s="5" t="s">
        <v>17</v>
      </c>
      <c r="D7" s="7" t="s">
        <v>25</v>
      </c>
      <c r="E7" s="6" t="s">
        <v>20</v>
      </c>
    </row>
    <row r="8" spans="1:5" x14ac:dyDescent="0.3">
      <c r="A8" s="4">
        <f t="shared" si="0"/>
        <v>7</v>
      </c>
      <c r="B8" s="5" t="s">
        <v>14</v>
      </c>
      <c r="C8" s="5" t="s">
        <v>18</v>
      </c>
      <c r="D8" s="7" t="s">
        <v>26</v>
      </c>
      <c r="E8" s="6" t="s">
        <v>19</v>
      </c>
    </row>
    <row r="9" spans="1:5" x14ac:dyDescent="0.3">
      <c r="A9" s="4">
        <f t="shared" si="0"/>
        <v>8</v>
      </c>
      <c r="B9" s="5" t="s">
        <v>14</v>
      </c>
      <c r="C9" s="5" t="s">
        <v>39</v>
      </c>
      <c r="D9" s="7" t="s">
        <v>40</v>
      </c>
      <c r="E9" s="6" t="s">
        <v>41</v>
      </c>
    </row>
    <row r="10" spans="1:5" ht="56" x14ac:dyDescent="0.3">
      <c r="A10" s="4">
        <f t="shared" si="0"/>
        <v>9</v>
      </c>
      <c r="B10" s="5" t="s">
        <v>21</v>
      </c>
      <c r="C10" s="5" t="s">
        <v>22</v>
      </c>
      <c r="D10" s="5" t="s">
        <v>28</v>
      </c>
      <c r="E10" s="8" t="s">
        <v>27</v>
      </c>
    </row>
    <row r="11" spans="1:5" ht="56" x14ac:dyDescent="0.3">
      <c r="A11" s="4">
        <f t="shared" si="0"/>
        <v>10</v>
      </c>
      <c r="B11" s="5" t="s">
        <v>21</v>
      </c>
      <c r="C11" s="5" t="s">
        <v>30</v>
      </c>
      <c r="D11" s="5" t="s">
        <v>29</v>
      </c>
      <c r="E11" s="8" t="s">
        <v>33</v>
      </c>
    </row>
    <row r="12" spans="1:5" ht="56" x14ac:dyDescent="0.3">
      <c r="A12" s="4">
        <f t="shared" si="0"/>
        <v>11</v>
      </c>
      <c r="B12" s="5" t="s">
        <v>21</v>
      </c>
      <c r="C12" s="5" t="s">
        <v>31</v>
      </c>
      <c r="D12" s="5" t="s">
        <v>37</v>
      </c>
      <c r="E12" s="8" t="s">
        <v>34</v>
      </c>
    </row>
    <row r="13" spans="1:5" ht="56" x14ac:dyDescent="0.3">
      <c r="A13" s="4">
        <f t="shared" si="0"/>
        <v>12</v>
      </c>
      <c r="B13" s="5" t="s">
        <v>21</v>
      </c>
      <c r="C13" s="5" t="s">
        <v>32</v>
      </c>
      <c r="D13" s="5" t="s">
        <v>38</v>
      </c>
      <c r="E13" s="8" t="s">
        <v>35</v>
      </c>
    </row>
    <row r="14" spans="1:5" ht="28" x14ac:dyDescent="0.3">
      <c r="A14" s="4">
        <f t="shared" si="0"/>
        <v>13</v>
      </c>
      <c r="B14" s="5" t="s">
        <v>21</v>
      </c>
      <c r="C14" s="9" t="s">
        <v>36</v>
      </c>
      <c r="D14" s="9"/>
      <c r="E14" s="10" t="s">
        <v>43</v>
      </c>
    </row>
    <row r="15" spans="1:5" ht="42" x14ac:dyDescent="0.3">
      <c r="A15" s="4">
        <f>ROW()-1</f>
        <v>14</v>
      </c>
      <c r="B15" s="5" t="s">
        <v>21</v>
      </c>
      <c r="C15" s="5" t="s">
        <v>42</v>
      </c>
      <c r="D15" s="5"/>
      <c r="E15" s="8" t="s">
        <v>44</v>
      </c>
    </row>
    <row r="16" spans="1:5" ht="42" x14ac:dyDescent="0.3">
      <c r="A16" s="4">
        <f t="shared" si="0"/>
        <v>15</v>
      </c>
      <c r="B16" s="5" t="s">
        <v>21</v>
      </c>
      <c r="C16" s="5" t="s">
        <v>45</v>
      </c>
      <c r="D16" s="5"/>
      <c r="E16" s="8" t="s">
        <v>51</v>
      </c>
    </row>
    <row r="17" spans="1:5" ht="42" x14ac:dyDescent="0.3">
      <c r="A17" s="4">
        <f t="shared" si="0"/>
        <v>16</v>
      </c>
      <c r="B17" s="5" t="s">
        <v>21</v>
      </c>
      <c r="C17" s="5" t="s">
        <v>46</v>
      </c>
      <c r="D17" s="5"/>
      <c r="E17" s="8" t="s">
        <v>52</v>
      </c>
    </row>
    <row r="18" spans="1:5" ht="42" x14ac:dyDescent="0.3">
      <c r="A18" s="4">
        <f t="shared" si="0"/>
        <v>17</v>
      </c>
      <c r="B18" s="5" t="s">
        <v>21</v>
      </c>
      <c r="C18" s="5" t="s">
        <v>47</v>
      </c>
      <c r="D18" s="5"/>
      <c r="E18" s="8" t="s">
        <v>53</v>
      </c>
    </row>
    <row r="19" spans="1:5" ht="42" x14ac:dyDescent="0.3">
      <c r="A19" s="4">
        <f t="shared" si="0"/>
        <v>18</v>
      </c>
      <c r="B19" s="5" t="s">
        <v>21</v>
      </c>
      <c r="C19" s="5" t="s">
        <v>48</v>
      </c>
      <c r="D19" s="5"/>
      <c r="E19" s="8" t="s">
        <v>54</v>
      </c>
    </row>
    <row r="20" spans="1:5" ht="42" x14ac:dyDescent="0.3">
      <c r="A20" s="4">
        <f t="shared" si="0"/>
        <v>19</v>
      </c>
      <c r="B20" s="5" t="s">
        <v>21</v>
      </c>
      <c r="C20" s="5" t="s">
        <v>49</v>
      </c>
      <c r="D20" s="5"/>
      <c r="E20" s="8" t="s">
        <v>55</v>
      </c>
    </row>
    <row r="21" spans="1:5" ht="42" x14ac:dyDescent="0.3">
      <c r="A21" s="4">
        <f t="shared" si="0"/>
        <v>20</v>
      </c>
      <c r="B21" s="5" t="s">
        <v>21</v>
      </c>
      <c r="C21" s="5" t="s">
        <v>50</v>
      </c>
      <c r="D21" s="5"/>
      <c r="E21" s="8" t="s">
        <v>56</v>
      </c>
    </row>
    <row r="22" spans="1:5" ht="42" x14ac:dyDescent="0.3">
      <c r="A22" s="4">
        <f t="shared" si="0"/>
        <v>21</v>
      </c>
      <c r="B22" s="5" t="s">
        <v>21</v>
      </c>
      <c r="C22" s="5" t="s">
        <v>57</v>
      </c>
      <c r="D22" s="9"/>
      <c r="E22" s="10" t="s">
        <v>58</v>
      </c>
    </row>
    <row r="23" spans="1:5" ht="70" x14ac:dyDescent="0.3">
      <c r="A23" s="4">
        <f>ROW()-1</f>
        <v>22</v>
      </c>
      <c r="B23" s="5" t="s">
        <v>21</v>
      </c>
      <c r="C23" s="5" t="s">
        <v>59</v>
      </c>
      <c r="D23" s="5"/>
      <c r="E23" s="10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ERD</vt:lpstr>
      <vt:lpstr>Mota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Đăng Kiên</dc:creator>
  <cp:lastModifiedBy>Nhung Đoàn Thị Kim</cp:lastModifiedBy>
  <dcterms:created xsi:type="dcterms:W3CDTF">2025-11-10T06:59:30Z</dcterms:created>
  <dcterms:modified xsi:type="dcterms:W3CDTF">2026-03-20T09:46:59Z</dcterms:modified>
</cp:coreProperties>
</file>